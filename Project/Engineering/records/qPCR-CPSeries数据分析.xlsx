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<sst xmlns="http://schemas.openxmlformats.org/spreadsheetml/2006/main" count="36" uniqueCount="24">
  <si>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目标基因</t>
  </si>
  <si>
    <t>样品名称</t>
  </si>
  <si>
    <t>生物学重复</t>
  </si>
  <si>
    <t>技术重复1</t>
  </si>
  <si>
    <t>技术重复2</t>
  </si>
  <si>
    <t>目标基因 Ct 均值</t>
  </si>
  <si>
    <t>内参基因</t>
  </si>
  <si>
    <t>内参基因 Ct 均值</t>
  </si>
  <si>
    <t>ΔCt</t>
  </si>
  <si>
    <t>ΔCt (WT)</t>
  </si>
  <si>
    <t>ΔΔCt</t>
  </si>
  <si>
    <t>Fold Change</t>
  </si>
  <si>
    <t>WT</t>
  </si>
  <si>
    <t>CP44</t>
  </si>
  <si>
    <t>极端值已丢弃</t>
  </si>
  <si>
    <t>CP30</t>
  </si>
  <si>
    <t>无Ct</t>
  </si>
  <si>
    <t>CP12</t>
  </si>
  <si>
    <t>CP7</t>
  </si>
  <si>
    <t>CP6</t>
  </si>
  <si>
    <t>CP25</t>
  </si>
  <si>
    <t>ΔCt=目标基因Ct均值-内参基因Ct均值</t>
  </si>
  <si>
    <t>ΔΔCt=ΔCt-ΔCt(WT)</t>
  </si>
  <si>
    <t>Fold Change=2^(-ΔΔCt)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</si>
</sst>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0"/>
    </font>
    <font>
      <sz val="11"/>
      <name val="宋体"/>
      <charset val="134"/>
    </font>
    <font>
      <sz val="11"/>
      <color theme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4" borderId="8">
      <alignment vertical="center"/>
    </xf>
    <xf numFmtId="0" fontId="14" fillId="5" borderId="9">
      <alignment vertical="center"/>
    </xf>
    <xf numFmtId="0" fontId="15" fillId="5" borderId="8">
      <alignment vertical="center"/>
    </xf>
    <xf numFmtId="0" fontId="16" fillId="6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Protection="1">
      <alignment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tabSelected="1" topLeftCell="E1" workbookViewId="0">
      <selection activeCell="Q7" sqref="Q7"/>
    </sheetView>
  </sheetViews>
  <sheetFormatPr defaultColWidth="9" defaultRowHeight="13.5"/>
  <cols>
    <col min="1" max="2" width="9" style="1"/>
    <col min="3" max="3" width="11.6194690265487" style="1" customWidth="1"/>
    <col min="4" max="4" width="10.8938053097345" style="1" customWidth="1"/>
    <col min="5" max="5" width="11.0176991150442" style="1" customWidth="1"/>
    <col min="6" max="6" width="20.2477876106195" style="1" customWidth="1"/>
    <col min="7" max="8" width="9" style="1"/>
    <col min="9" max="9" width="10.6991150442478" style="1" customWidth="1"/>
    <col min="10" max="10" width="11.5575221238938" style="1" customWidth="1"/>
    <col min="11" max="11" width="11.0176991150442" style="1" customWidth="1"/>
    <col min="12" max="12" width="21.8407079646018" style="1" customWidth="1"/>
    <col min="13" max="13" width="9" style="1"/>
    <col min="14" max="14" width="13.858407079646" style="1"/>
    <col min="15" max="15" width="18.1327433628319" style="1" customWidth="1"/>
    <col min="16" max="16" width="12.4159292035398" style="1" customWidth="1"/>
    <col min="17" max="16384" width="9" style="1"/>
  </cols>
  <sheetData>
    <row r="1" spans="1:17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2" t="s">
        <v>6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7</v>
      </c>
      <c r="M1" s="4" t="s">
        <v>8</v>
      </c>
      <c r="N1" s="4" t="s">
        <v>9</v>
      </c>
      <c r="O1" s="4" t="s">
        <v>10</v>
      </c>
      <c r="P1" s="4" t="s">
        <v>11</v>
      </c>
    </row>
    <row r="2" spans="1:17">
      <c r="A2" s="2"/>
      <c r="B2" s="5" t="s">
        <v>12</v>
      </c>
      <c r="C2" s="4">
        <v>1</v>
      </c>
      <c r="D2" s="6">
        <v>17.87</v>
      </c>
      <c r="E2" s="6">
        <v>18.21</v>
      </c>
      <c r="F2" s="7">
        <f>AVERAGE(D2:E2)</f>
        <v>18.04</v>
      </c>
      <c r="G2" s="2"/>
      <c r="H2" s="5" t="s">
        <v>12</v>
      </c>
      <c r="I2" s="4">
        <v>1</v>
      </c>
      <c r="J2" s="6">
        <v>19.34</v>
      </c>
      <c r="K2" s="6">
        <v>19.24</v>
      </c>
      <c r="L2" s="4">
        <f>AVERAGE(J2:K2)</f>
        <v>19.29</v>
      </c>
      <c r="M2" s="4">
        <f>F2-L2</f>
        <v>-1.25</v>
      </c>
      <c r="N2" s="7">
        <f>AVERAGE(M2:M4)</f>
        <v>-1.10333333333333</v>
      </c>
      <c r="O2" s="4">
        <f>M2-N2</f>
        <v>-0.146666666666666</v>
      </c>
      <c r="P2" s="4">
        <f>POWER(2,-O2)</f>
        <v>1.10700878159531</v>
      </c>
    </row>
    <row r="3" spans="1:17">
      <c r="A3" s="2"/>
      <c r="B3" s="8"/>
      <c r="C3" s="4">
        <v>2</v>
      </c>
      <c r="D3" s="6">
        <v>17.98</v>
      </c>
      <c r="E3" s="6">
        <v>18.25</v>
      </c>
      <c r="F3" s="7">
        <f t="shared" ref="F3:F28" si="0">AVERAGE(D3:E3)</f>
        <v>18.115</v>
      </c>
      <c r="G3" s="2"/>
      <c r="H3" s="8"/>
      <c r="I3" s="4">
        <v>2</v>
      </c>
      <c r="J3" s="6">
        <v>19.19</v>
      </c>
      <c r="K3" s="6">
        <v>18.4</v>
      </c>
      <c r="L3" s="4">
        <f t="shared" ref="L3:L28" si="1">AVERAGE(J3:K3)</f>
        <v>18.795</v>
      </c>
      <c r="M3" s="4">
        <f t="shared" ref="M3:M28" si="2">F3-L3</f>
        <v>-0.680000000000003</v>
      </c>
      <c r="N3" s="7"/>
      <c r="O3" s="4">
        <f>M3-N2</f>
        <v>0.423333333333331</v>
      </c>
      <c r="P3" s="4">
        <f t="shared" ref="P3:P28" si="3">POWER(2,-O3)</f>
        <v>0.74569970022519</v>
      </c>
    </row>
    <row r="4" spans="1:17">
      <c r="A4" s="2"/>
      <c r="B4" s="9"/>
      <c r="C4" s="4">
        <v>3</v>
      </c>
      <c r="D4" s="6">
        <v>18.51</v>
      </c>
      <c r="E4" s="6">
        <v>18.53</v>
      </c>
      <c r="F4" s="7">
        <f t="shared" si="0"/>
        <v>18.52</v>
      </c>
      <c r="G4" s="2"/>
      <c r="H4" s="9"/>
      <c r="I4" s="4">
        <v>3</v>
      </c>
      <c r="J4" s="6">
        <v>19.94</v>
      </c>
      <c r="K4" s="6">
        <v>19.86</v>
      </c>
      <c r="L4" s="4">
        <f t="shared" si="1"/>
        <v>19.9</v>
      </c>
      <c r="M4" s="4">
        <f t="shared" si="2"/>
        <v>-1.38</v>
      </c>
      <c r="N4" s="7"/>
      <c r="O4" s="4">
        <f>M4-N2</f>
        <v>-0.276666666666665</v>
      </c>
      <c r="P4" s="4">
        <f t="shared" si="3"/>
        <v>1.21139273694007</v>
      </c>
    </row>
    <row r="5" spans="1:17">
      <c r="A5" s="2"/>
      <c r="B5" s="7"/>
      <c r="C5" s="7"/>
      <c r="D5" s="6"/>
      <c r="E5" s="7"/>
      <c r="F5" s="7"/>
      <c r="G5" s="2"/>
      <c r="H5" s="4"/>
      <c r="I5" s="4"/>
      <c r="J5" s="4"/>
      <c r="K5" s="4"/>
      <c r="L5" s="4"/>
      <c r="M5" s="4"/>
      <c r="N5" s="4"/>
      <c r="O5" s="4"/>
      <c r="P5" s="4"/>
    </row>
    <row r="6" spans="1:17">
      <c r="A6" s="2"/>
      <c r="B6" s="5" t="s">
        <v>13</v>
      </c>
      <c r="C6" s="4">
        <v>1</v>
      </c>
      <c r="D6" s="6">
        <v>12.24</v>
      </c>
      <c r="E6" s="6">
        <v>12.37</v>
      </c>
      <c r="F6" s="7">
        <f t="shared" si="0"/>
        <v>12.305</v>
      </c>
      <c r="G6" s="2"/>
      <c r="H6" s="5" t="s">
        <v>13</v>
      </c>
      <c r="I6" s="4">
        <v>1</v>
      </c>
      <c r="J6" s="6">
        <v>19.11</v>
      </c>
      <c r="K6" s="6">
        <v>19.13</v>
      </c>
      <c r="L6" s="4">
        <f t="shared" si="1"/>
        <v>19.12</v>
      </c>
      <c r="M6" s="4">
        <f t="shared" si="2"/>
        <v>-6.815</v>
      </c>
      <c r="N6" s="4"/>
      <c r="O6" s="4">
        <f>M6-N2</f>
        <v>-5.71166666666667</v>
      </c>
      <c r="P6" s="10">
        <f>POWER(2,-O6)</f>
        <v>52.4062388518681</v>
      </c>
    </row>
    <row r="7" spans="1:17">
      <c r="A7" s="2"/>
      <c r="B7" s="8"/>
      <c r="C7" s="4">
        <v>2</v>
      </c>
      <c r="D7" s="6">
        <v>14.17</v>
      </c>
      <c r="E7" s="6">
        <v>13.54</v>
      </c>
      <c r="F7" s="7">
        <f t="shared" si="0"/>
        <v>13.855</v>
      </c>
      <c r="G7" s="2"/>
      <c r="H7" s="8"/>
      <c r="I7" s="4">
        <v>2</v>
      </c>
      <c r="J7" s="6">
        <v>22.96</v>
      </c>
      <c r="K7" s="6">
        <v>23.11</v>
      </c>
      <c r="L7" s="4">
        <f t="shared" si="1"/>
        <v>23.035</v>
      </c>
      <c r="M7" s="4">
        <f t="shared" si="2"/>
        <v>-9.18</v>
      </c>
      <c r="N7" s="4"/>
      <c r="O7" s="4">
        <f>M7-N2</f>
        <v>-8.07666666666667</v>
      </c>
      <c r="P7" s="11">
        <f t="shared" si="3"/>
        <v>269.972129156099</v>
      </c>
      <c r="Q7" s="12" t="s">
        <v>14</v>
      </c>
    </row>
    <row r="8" spans="1:17">
      <c r="A8" s="2"/>
      <c r="B8" s="9"/>
      <c r="C8" s="4">
        <v>3</v>
      </c>
      <c r="D8" s="6">
        <v>12.02</v>
      </c>
      <c r="E8" s="6">
        <v>12.44</v>
      </c>
      <c r="F8" s="7">
        <f t="shared" si="0"/>
        <v>12.23</v>
      </c>
      <c r="G8" s="2"/>
      <c r="H8" s="9"/>
      <c r="I8" s="4">
        <v>3</v>
      </c>
      <c r="J8" s="6">
        <v>20.24</v>
      </c>
      <c r="K8" s="6">
        <v>20.36</v>
      </c>
      <c r="L8" s="4">
        <f t="shared" si="1"/>
        <v>20.3</v>
      </c>
      <c r="M8" s="4">
        <f t="shared" si="2"/>
        <v>-8.07</v>
      </c>
      <c r="N8" s="4"/>
      <c r="O8" s="4">
        <f>M8-N2</f>
        <v>-6.96666666666667</v>
      </c>
      <c r="P8" s="4">
        <f t="shared" si="3"/>
        <v>125.076475959583</v>
      </c>
    </row>
    <row r="9" spans="1:17">
      <c r="A9" s="2"/>
      <c r="B9" s="4"/>
      <c r="C9" s="4"/>
      <c r="D9" s="4"/>
      <c r="E9" s="7"/>
      <c r="F9" s="7"/>
      <c r="G9" s="2"/>
      <c r="H9" s="4"/>
      <c r="I9" s="4"/>
      <c r="J9" s="4"/>
      <c r="K9" s="4"/>
      <c r="L9" s="4"/>
      <c r="M9" s="4"/>
      <c r="N9" s="4"/>
      <c r="O9" s="4"/>
      <c r="P9" s="4"/>
    </row>
    <row r="10" spans="1:17">
      <c r="A10" s="2"/>
      <c r="B10" s="5" t="s">
        <v>15</v>
      </c>
      <c r="C10" s="4">
        <v>1</v>
      </c>
      <c r="D10" s="6">
        <v>12.42</v>
      </c>
      <c r="E10" s="6">
        <v>12.98</v>
      </c>
      <c r="F10" s="7">
        <f t="shared" si="0"/>
        <v>12.7</v>
      </c>
      <c r="G10" s="2"/>
      <c r="H10" s="5" t="s">
        <v>15</v>
      </c>
      <c r="I10" s="4">
        <v>1</v>
      </c>
      <c r="J10" s="6">
        <v>20.91</v>
      </c>
      <c r="K10" s="6">
        <v>20.5</v>
      </c>
      <c r="L10" s="4">
        <f t="shared" si="1"/>
        <v>20.705</v>
      </c>
      <c r="M10" s="4">
        <f t="shared" si="2"/>
        <v>-8.005</v>
      </c>
      <c r="N10" s="4"/>
      <c r="O10" s="4">
        <f>M10-N2</f>
        <v>-6.90166666666666</v>
      </c>
      <c r="P10" s="4">
        <f t="shared" si="3"/>
        <v>119.56627153469</v>
      </c>
    </row>
    <row r="11" spans="1:17">
      <c r="A11" s="2"/>
      <c r="B11" s="8"/>
      <c r="C11" s="4">
        <v>2</v>
      </c>
      <c r="D11" s="6">
        <v>12.13</v>
      </c>
      <c r="E11" s="6">
        <v>12.49</v>
      </c>
      <c r="F11" s="7">
        <f t="shared" si="0"/>
        <v>12.31</v>
      </c>
      <c r="G11" s="2"/>
      <c r="H11" s="8"/>
      <c r="I11" s="4">
        <v>2</v>
      </c>
      <c r="J11" s="6">
        <v>20.14</v>
      </c>
      <c r="K11" s="6">
        <v>20.4</v>
      </c>
      <c r="L11" s="4">
        <f t="shared" si="1"/>
        <v>20.27</v>
      </c>
      <c r="M11" s="4">
        <f t="shared" si="2"/>
        <v>-7.96</v>
      </c>
      <c r="N11" s="4"/>
      <c r="O11" s="4">
        <f>M11-N2</f>
        <v>-6.85666666666666</v>
      </c>
      <c r="P11" s="4">
        <f t="shared" si="3"/>
        <v>115.894369447468</v>
      </c>
    </row>
    <row r="12" spans="1:17">
      <c r="A12" s="2"/>
      <c r="B12" s="9"/>
      <c r="C12" s="4">
        <v>3</v>
      </c>
      <c r="D12" s="6" t="s">
        <v>16</v>
      </c>
      <c r="E12" s="6">
        <v>12.62</v>
      </c>
      <c r="F12" s="7">
        <f t="shared" si="0"/>
        <v>12.62</v>
      </c>
      <c r="G12" s="2"/>
      <c r="H12" s="9"/>
      <c r="I12" s="4">
        <v>3</v>
      </c>
      <c r="J12" s="6">
        <v>20.46</v>
      </c>
      <c r="K12" s="6">
        <v>20.45</v>
      </c>
      <c r="L12" s="4">
        <f t="shared" si="1"/>
        <v>20.455</v>
      </c>
      <c r="M12" s="4">
        <f t="shared" si="2"/>
        <v>-7.835</v>
      </c>
      <c r="N12" s="4"/>
      <c r="O12" s="4">
        <f>M12-N2</f>
        <v>-6.73166666666666</v>
      </c>
      <c r="P12" s="4">
        <f t="shared" si="3"/>
        <v>106.275605367984</v>
      </c>
    </row>
    <row r="13" spans="1:17">
      <c r="A13" s="2"/>
      <c r="B13" s="4"/>
      <c r="C13" s="4"/>
      <c r="D13" s="4"/>
      <c r="E13" s="4"/>
      <c r="F13" s="7"/>
      <c r="G13" s="2"/>
      <c r="H13" s="4"/>
      <c r="I13" s="4"/>
      <c r="J13" s="4"/>
      <c r="K13" s="4"/>
      <c r="L13" s="4"/>
      <c r="M13" s="4"/>
      <c r="N13" s="4"/>
      <c r="O13" s="4"/>
      <c r="P13" s="4"/>
    </row>
    <row r="14" spans="1:17">
      <c r="A14" s="2"/>
      <c r="B14" s="5" t="s">
        <v>17</v>
      </c>
      <c r="C14" s="4">
        <v>1</v>
      </c>
      <c r="D14" s="6">
        <v>14.29</v>
      </c>
      <c r="E14" s="6">
        <v>14.32</v>
      </c>
      <c r="F14" s="7">
        <f t="shared" si="0"/>
        <v>14.305</v>
      </c>
      <c r="G14" s="2"/>
      <c r="H14" s="5" t="s">
        <v>17</v>
      </c>
      <c r="I14" s="4">
        <v>1</v>
      </c>
      <c r="J14" s="6">
        <v>18.28</v>
      </c>
      <c r="K14" s="6">
        <v>18.7</v>
      </c>
      <c r="L14" s="4">
        <f t="shared" si="1"/>
        <v>18.49</v>
      </c>
      <c r="M14" s="4">
        <f t="shared" si="2"/>
        <v>-4.185</v>
      </c>
      <c r="N14" s="4"/>
      <c r="O14" s="4">
        <f>M14-N2</f>
        <v>-3.08166666666666</v>
      </c>
      <c r="P14" s="4">
        <f t="shared" si="3"/>
        <v>8.4659188904095</v>
      </c>
    </row>
    <row r="15" spans="1:17">
      <c r="A15" s="2"/>
      <c r="B15" s="8"/>
      <c r="C15" s="4">
        <v>2</v>
      </c>
      <c r="D15" s="6">
        <v>14.46</v>
      </c>
      <c r="E15" s="6">
        <v>14.92</v>
      </c>
      <c r="F15" s="7">
        <f t="shared" si="0"/>
        <v>14.69</v>
      </c>
      <c r="G15" s="2"/>
      <c r="H15" s="8"/>
      <c r="I15" s="4">
        <v>2</v>
      </c>
      <c r="J15" s="6">
        <v>19.12</v>
      </c>
      <c r="K15" s="6">
        <v>18.81</v>
      </c>
      <c r="L15" s="4">
        <f t="shared" si="1"/>
        <v>18.965</v>
      </c>
      <c r="M15" s="4">
        <f t="shared" si="2"/>
        <v>-4.275</v>
      </c>
      <c r="N15" s="4"/>
      <c r="O15" s="4">
        <f>M15-N2</f>
        <v>-3.17166666666667</v>
      </c>
      <c r="P15" s="4">
        <f t="shared" si="3"/>
        <v>9.01087163402051</v>
      </c>
    </row>
    <row r="16" spans="1:17">
      <c r="A16" s="2"/>
      <c r="B16" s="9"/>
      <c r="C16" s="4">
        <v>3</v>
      </c>
      <c r="D16" s="6">
        <v>14.95</v>
      </c>
      <c r="E16" s="6">
        <v>14.85</v>
      </c>
      <c r="F16" s="7">
        <f t="shared" si="0"/>
        <v>14.9</v>
      </c>
      <c r="G16" s="2"/>
      <c r="H16" s="9"/>
      <c r="I16" s="4">
        <v>3</v>
      </c>
      <c r="J16" s="6">
        <v>17.35</v>
      </c>
      <c r="K16" s="6">
        <v>17.29</v>
      </c>
      <c r="L16" s="4">
        <f t="shared" si="1"/>
        <v>17.32</v>
      </c>
      <c r="M16" s="4">
        <f t="shared" si="2"/>
        <v>-2.42</v>
      </c>
      <c r="N16" s="4"/>
      <c r="O16" s="4">
        <f>M16-N2</f>
        <v>-1.31666666666667</v>
      </c>
      <c r="P16" s="4">
        <f t="shared" si="3"/>
        <v>2.49089924471764</v>
      </c>
    </row>
    <row r="17" spans="1:16">
      <c r="A17" s="2"/>
      <c r="B17" s="4"/>
      <c r="C17" s="4"/>
      <c r="D17" s="4"/>
      <c r="E17" s="4"/>
      <c r="F17" s="7"/>
      <c r="G17" s="2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"/>
      <c r="B18" s="5" t="s">
        <v>18</v>
      </c>
      <c r="C18" s="4">
        <v>1</v>
      </c>
      <c r="D18" s="6">
        <v>15.28</v>
      </c>
      <c r="E18" s="6">
        <v>15.42</v>
      </c>
      <c r="F18" s="7">
        <f t="shared" si="0"/>
        <v>15.35</v>
      </c>
      <c r="G18" s="2"/>
      <c r="H18" s="5" t="s">
        <v>18</v>
      </c>
      <c r="I18" s="4">
        <v>1</v>
      </c>
      <c r="J18" s="6" t="s">
        <v>16</v>
      </c>
      <c r="K18" s="6">
        <v>16.48</v>
      </c>
      <c r="L18" s="4">
        <f t="shared" si="1"/>
        <v>16.48</v>
      </c>
      <c r="M18" s="4">
        <f t="shared" si="2"/>
        <v>-1.13</v>
      </c>
      <c r="N18" s="4"/>
      <c r="O18" s="4">
        <f>M18-N2</f>
        <v>-0.0266666666666666</v>
      </c>
      <c r="P18" s="4">
        <f t="shared" si="3"/>
        <v>1.01865580995729</v>
      </c>
    </row>
    <row r="19" spans="1:16">
      <c r="A19" s="2"/>
      <c r="B19" s="8"/>
      <c r="C19" s="4">
        <v>2</v>
      </c>
      <c r="D19" s="6">
        <v>15.58</v>
      </c>
      <c r="E19" s="6">
        <v>15.75</v>
      </c>
      <c r="F19" s="7">
        <f t="shared" si="0"/>
        <v>15.665</v>
      </c>
      <c r="G19" s="2"/>
      <c r="H19" s="8"/>
      <c r="I19" s="4">
        <v>2</v>
      </c>
      <c r="J19" s="6">
        <v>16.38</v>
      </c>
      <c r="K19" s="6">
        <v>16.28</v>
      </c>
      <c r="L19" s="4">
        <f t="shared" si="1"/>
        <v>16.33</v>
      </c>
      <c r="M19" s="4">
        <f t="shared" si="2"/>
        <v>-0.664999999999999</v>
      </c>
      <c r="N19" s="4"/>
      <c r="O19" s="4">
        <f>M19-N2</f>
        <v>0.438333333333335</v>
      </c>
      <c r="P19" s="4">
        <f t="shared" si="3"/>
        <v>0.737986672014681</v>
      </c>
    </row>
    <row r="20" spans="1:16">
      <c r="A20" s="2"/>
      <c r="B20" s="9"/>
      <c r="C20" s="4">
        <v>3</v>
      </c>
      <c r="D20" s="6">
        <v>16.28</v>
      </c>
      <c r="E20" s="6">
        <v>16.2</v>
      </c>
      <c r="F20" s="7">
        <f t="shared" si="0"/>
        <v>16.24</v>
      </c>
      <c r="G20" s="2"/>
      <c r="H20" s="9"/>
      <c r="I20" s="4">
        <v>3</v>
      </c>
      <c r="J20" s="6">
        <v>19.25</v>
      </c>
      <c r="K20" s="6">
        <v>18.81</v>
      </c>
      <c r="L20" s="4">
        <f t="shared" si="1"/>
        <v>19.03</v>
      </c>
      <c r="M20" s="4">
        <f t="shared" si="2"/>
        <v>-2.79</v>
      </c>
      <c r="N20" s="4"/>
      <c r="O20" s="4">
        <f>M20-N2</f>
        <v>-1.68666666666667</v>
      </c>
      <c r="P20" s="4">
        <f t="shared" si="3"/>
        <v>3.21912068974364</v>
      </c>
    </row>
    <row r="21" spans="1:16">
      <c r="A21" s="2"/>
      <c r="B21" s="4"/>
      <c r="C21" s="4"/>
      <c r="D21" s="4"/>
      <c r="E21" s="4"/>
      <c r="F21" s="7"/>
      <c r="G21" s="2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"/>
      <c r="B22" s="5" t="s">
        <v>19</v>
      </c>
      <c r="C22" s="4">
        <v>1</v>
      </c>
      <c r="D22" s="6">
        <v>16.82</v>
      </c>
      <c r="E22" s="6">
        <v>16.81</v>
      </c>
      <c r="F22" s="7">
        <f t="shared" si="0"/>
        <v>16.815</v>
      </c>
      <c r="G22" s="2"/>
      <c r="H22" s="5" t="s">
        <v>19</v>
      </c>
      <c r="I22" s="4">
        <v>1</v>
      </c>
      <c r="J22" s="6">
        <v>16.36</v>
      </c>
      <c r="K22" s="6">
        <v>17.99</v>
      </c>
      <c r="L22" s="4">
        <f t="shared" si="1"/>
        <v>17.175</v>
      </c>
      <c r="M22" s="4">
        <f t="shared" si="2"/>
        <v>-0.359999999999999</v>
      </c>
      <c r="N22" s="4"/>
      <c r="O22" s="4">
        <f>M22-N2</f>
        <v>0.743333333333335</v>
      </c>
      <c r="P22" s="4">
        <f t="shared" si="3"/>
        <v>0.597357567578009</v>
      </c>
    </row>
    <row r="23" spans="1:16">
      <c r="A23" s="2"/>
      <c r="B23" s="8"/>
      <c r="C23" s="4">
        <v>2</v>
      </c>
      <c r="D23" s="6">
        <v>17.29</v>
      </c>
      <c r="E23" s="6">
        <v>17.25</v>
      </c>
      <c r="F23" s="7">
        <f t="shared" si="0"/>
        <v>17.27</v>
      </c>
      <c r="G23" s="2"/>
      <c r="H23" s="8"/>
      <c r="I23" s="4">
        <v>2</v>
      </c>
      <c r="J23" s="6">
        <v>19.14</v>
      </c>
      <c r="K23" s="6">
        <v>19.15</v>
      </c>
      <c r="L23" s="4">
        <f t="shared" si="1"/>
        <v>19.145</v>
      </c>
      <c r="M23" s="4">
        <f t="shared" si="2"/>
        <v>-1.875</v>
      </c>
      <c r="N23" s="4"/>
      <c r="O23" s="4">
        <f>M23-N2</f>
        <v>-0.771666666666666</v>
      </c>
      <c r="P23" s="4">
        <f t="shared" si="3"/>
        <v>1.70724092679794</v>
      </c>
    </row>
    <row r="24" spans="1:16">
      <c r="A24" s="2"/>
      <c r="B24" s="9"/>
      <c r="C24" s="4">
        <v>3</v>
      </c>
      <c r="D24" s="6">
        <v>17.27</v>
      </c>
      <c r="E24" s="6">
        <v>17.22</v>
      </c>
      <c r="F24" s="7">
        <f t="shared" si="0"/>
        <v>17.245</v>
      </c>
      <c r="G24" s="2"/>
      <c r="H24" s="9"/>
      <c r="I24" s="4">
        <v>3</v>
      </c>
      <c r="J24" s="6">
        <v>19.82</v>
      </c>
      <c r="K24" s="6">
        <v>19.89</v>
      </c>
      <c r="L24" s="4">
        <f t="shared" si="1"/>
        <v>19.855</v>
      </c>
      <c r="M24" s="4">
        <f t="shared" si="2"/>
        <v>-2.61</v>
      </c>
      <c r="N24" s="4"/>
      <c r="O24" s="4">
        <f>M24-N2</f>
        <v>-1.50666666666667</v>
      </c>
      <c r="P24" s="4">
        <f t="shared" si="3"/>
        <v>2.84152747825795</v>
      </c>
    </row>
    <row r="25" spans="1:16">
      <c r="A25" s="2"/>
      <c r="B25" s="4"/>
      <c r="C25" s="4"/>
      <c r="D25" s="4"/>
      <c r="E25" s="4"/>
      <c r="F25" s="7"/>
      <c r="G25" s="2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"/>
      <c r="B26" s="5" t="s">
        <v>20</v>
      </c>
      <c r="C26" s="4">
        <v>1</v>
      </c>
      <c r="D26" s="6">
        <v>12.34</v>
      </c>
      <c r="E26" s="6">
        <v>12.2</v>
      </c>
      <c r="F26" s="7">
        <f t="shared" si="0"/>
        <v>12.27</v>
      </c>
      <c r="G26" s="2"/>
      <c r="H26" s="5" t="s">
        <v>20</v>
      </c>
      <c r="I26" s="4">
        <v>1</v>
      </c>
      <c r="J26" s="6">
        <v>17.69</v>
      </c>
      <c r="K26" s="6">
        <v>17.3</v>
      </c>
      <c r="L26" s="4">
        <f t="shared" si="1"/>
        <v>17.495</v>
      </c>
      <c r="M26" s="4">
        <f t="shared" si="2"/>
        <v>-5.225</v>
      </c>
      <c r="N26" s="4"/>
      <c r="O26" s="4">
        <f>M26-N2</f>
        <v>-4.12166666666667</v>
      </c>
      <c r="P26" s="4">
        <f t="shared" si="3"/>
        <v>17.4078565331576</v>
      </c>
    </row>
    <row r="27" spans="1:16">
      <c r="A27" s="2"/>
      <c r="B27" s="8"/>
      <c r="C27" s="4">
        <v>2</v>
      </c>
      <c r="D27" s="6">
        <v>12.62</v>
      </c>
      <c r="E27" s="6">
        <v>12.47</v>
      </c>
      <c r="F27" s="7">
        <f t="shared" si="0"/>
        <v>12.545</v>
      </c>
      <c r="G27" s="2"/>
      <c r="H27" s="8"/>
      <c r="I27" s="4">
        <v>2</v>
      </c>
      <c r="J27" s="6">
        <v>17.96</v>
      </c>
      <c r="K27" s="6">
        <v>17.72</v>
      </c>
      <c r="L27" s="4">
        <f t="shared" si="1"/>
        <v>17.84</v>
      </c>
      <c r="M27" s="4">
        <f t="shared" si="2"/>
        <v>-5.295</v>
      </c>
      <c r="N27" s="4"/>
      <c r="O27" s="4">
        <f>M27-N2</f>
        <v>-4.19166666666667</v>
      </c>
      <c r="P27" s="4">
        <f t="shared" si="3"/>
        <v>18.2733174289723</v>
      </c>
    </row>
    <row r="28" spans="1:16">
      <c r="A28" s="2"/>
      <c r="B28" s="9"/>
      <c r="C28" s="4">
        <v>3</v>
      </c>
      <c r="D28" s="6">
        <v>12.11</v>
      </c>
      <c r="E28" s="6">
        <v>11.81</v>
      </c>
      <c r="F28" s="7">
        <f t="shared" si="0"/>
        <v>11.96</v>
      </c>
      <c r="G28" s="2"/>
      <c r="H28" s="9"/>
      <c r="I28" s="4">
        <v>3</v>
      </c>
      <c r="J28" s="6">
        <v>18.3</v>
      </c>
      <c r="K28" s="6">
        <v>19.02</v>
      </c>
      <c r="L28" s="4">
        <f t="shared" si="1"/>
        <v>18.66</v>
      </c>
      <c r="M28" s="4">
        <f t="shared" si="2"/>
        <v>-6.7</v>
      </c>
      <c r="N28" s="4"/>
      <c r="O28" s="4">
        <f>M28-N2</f>
        <v>-5.59666666666666</v>
      </c>
      <c r="P28" s="4">
        <f t="shared" si="3"/>
        <v>48.3909939276744</v>
      </c>
    </row>
    <row r="30" spans="1:16">
      <c r="A30" s="13" t="s">
        <v>21</v>
      </c>
      <c r="B30" s="13"/>
      <c r="C30" s="13"/>
    </row>
    <row r="31" spans="1:16">
      <c r="A31" s="13" t="s">
        <v>22</v>
      </c>
      <c r="B31" s="13"/>
      <c r="C31" s="13"/>
    </row>
    <row r="32" spans="1:16">
      <c r="A32" s="13" t="s">
        <v>23</v>
      </c>
      <c r="B32" s="13"/>
      <c r="C32" s="13"/>
    </row>
  </sheetData>
  <mergeCells count="17">
    <mergeCell ref="A1:A28"/>
    <mergeCell ref="B2:B4"/>
    <mergeCell ref="B6:B8"/>
    <mergeCell ref="B10:B12"/>
    <mergeCell ref="B14:B16"/>
    <mergeCell ref="B18:B20"/>
    <mergeCell ref="B22:B24"/>
    <mergeCell ref="B26:B28"/>
    <mergeCell ref="G1:G28"/>
    <mergeCell ref="H2:H4"/>
    <mergeCell ref="H6:H8"/>
    <mergeCell ref="H10:H12"/>
    <mergeCell ref="H14:H16"/>
    <mergeCell ref="H18:H20"/>
    <mergeCell ref="H22:H24"/>
    <mergeCell ref="H26:H28"/>
    <mergeCell ref="N2:N4"/>
  </mergeCells>
  <pageMargins left="0.7" right="0.7" top="0.75" bottom="0.75" header="0.3" footer="0.3"/>
  <pageSetup paperSize="9" orientation="portrait"/>
  <headerFooter/>
  <ignoredErrors>
    <ignoredError sqref="A1:L2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我好想成为你出生地的</cp:lastModifiedBy>
  <dcterms:created xsi:type="dcterms:W3CDTF">2023-05-12T11:15:00Z</dcterms:created>
  <dcterms:modified xsi:type="dcterms:W3CDTF">2026-10-20T10:04:31Z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8CE93890931F44C1A8897BA90080A8BF_12</vt:lpwstr>
  </property>
  <property fmtid="{D5CDD505-2E9C-101B-9397-08002B2CF9AE}" pid="4" name="CalculationRule">
    <vt:i4>0</vt:i4>
  </property>
</Properties>
</file>